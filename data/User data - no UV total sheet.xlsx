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rg\sDrive\Git\Eps2Fold\data\"/>
    </mc:Choice>
  </mc:AlternateContent>
  <xr:revisionPtr revIDLastSave="0" documentId="13_ncr:1_{6EB1BBEE-D0FA-45A8-A039-564C49EF369E}" xr6:coauthVersionLast="47" xr6:coauthVersionMax="47" xr10:uidLastSave="{00000000-0000-0000-0000-000000000000}"/>
  <bookViews>
    <workbookView xWindow="3188" yWindow="3188" windowWidth="16200" windowHeight="9307" activeTab="1" xr2:uid="{3395EE85-F471-4538-B7A4-656CA40FA1BA}"/>
  </bookViews>
  <sheets>
    <sheet name="Sample information" sheetId="1" r:id="rId1"/>
    <sheet name="C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2" i="2"/>
  <c r="D4" i="1"/>
</calcChain>
</file>

<file path=xl/sharedStrings.xml><?xml version="1.0" encoding="utf-8"?>
<sst xmlns="http://schemas.openxmlformats.org/spreadsheetml/2006/main" count="16" uniqueCount="11">
  <si>
    <t>oligo</t>
  </si>
  <si>
    <t>l</t>
  </si>
  <si>
    <t>seq</t>
  </si>
  <si>
    <t>222T-K+</t>
  </si>
  <si>
    <t>TGGGTTGGGTTGGGTTGGGT</t>
  </si>
  <si>
    <t>222T-Na+</t>
  </si>
  <si>
    <t>wl</t>
  </si>
  <si>
    <t>Concentration</t>
  </si>
  <si>
    <t>222T-mix</t>
  </si>
  <si>
    <t>141</t>
  </si>
  <si>
    <t>GGGTGGGTTTTGGGTGGG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</si>
</sst>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1" xfId="0" applyFont="1" applyBorder="1"/>
    <xf numFmtId="49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</dxf>
    <dxf>
      <numFmt numFmtId="2" formatCode="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69B95-ABD3-4BAC-BAA7-DDE222AAA451}" name="Table1" displayName="Table1" ref="A1:D5" totalsRowShown="0">
  <autoFilter ref="A1:D5" xr:uid="{C9369B95-ABD3-4BAC-BAA7-DDE222AAA451}"/>
  <tableColumns count="4">
    <tableColumn id="1" xr3:uid="{A58B8D85-3927-42F8-A775-6FEF41EA218C}" name="oligo" dataDxfId="10"/>
    <tableColumn id="2" xr3:uid="{9601735F-0B78-483B-830A-7F20E6EC20D6}" name="Concentration" dataDxfId="9"/>
    <tableColumn id="3" xr3:uid="{735AFCD3-888F-4E2E-AA62-F20DC2C69AA7}" name="l"/>
    <tableColumn id="4" xr3:uid="{050B4CB1-5A08-4B95-B8A3-FC82E7806370}" name="seq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76392D-CB89-4E77-AC2F-CB4063A99A12}" name="Table2" displayName="Table2" ref="A1:E132" totalsRowShown="0" dataDxfId="6" headerRowBorderDxfId="7" tableBorderDxfId="5">
  <autoFilter ref="A1:E132" xr:uid="{FC76392D-CB89-4E77-AC2F-CB4063A99A12}"/>
  <tableColumns count="5">
    <tableColumn id="1" xr3:uid="{93F68E62-521D-411B-846F-8D269A40BECD}" name="wl" dataDxfId="4"/>
    <tableColumn id="2" xr3:uid="{0452EAEF-5797-48F3-803C-4BD7B93CD56F}" name="222T-K+" dataDxfId="3"/>
    <tableColumn id="3" xr3:uid="{A6ED9620-1216-41A6-9F51-7A608344ED64}" name="222T-Na+" dataDxfId="2"/>
    <tableColumn id="4" xr3:uid="{A71E187B-1359-409D-815B-1855E63A7728}" name="222T-mix" dataDxfId="1">
      <calculatedColumnFormula>0.3*B2+0.7*C2+0.235+2</calculatedColumnFormula>
    </tableColumn>
    <tableColumn id="5" xr3:uid="{D142B44E-80A9-424C-833A-CBF9B5467DBF}" name="14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224F-30CE-4282-9A22-0A8130483FC1}">
  <dimension ref="A1:D5"/>
  <sheetViews>
    <sheetView workbookViewId="0">
      <selection activeCell="C7" sqref="C7"/>
    </sheetView>
  </sheetViews>
  <sheetFormatPr baseColWidth="10" defaultColWidth="9.06640625" defaultRowHeight="14.25" x14ac:dyDescent="0.45"/>
  <cols>
    <col min="4" max="4" width="30.265625" bestFit="1" customWidth="1"/>
  </cols>
  <sheetData>
    <row r="1" spans="1:4" x14ac:dyDescent="0.45">
      <c r="A1" s="1" t="s">
        <v>0</v>
      </c>
      <c r="B1" t="s">
        <v>7</v>
      </c>
      <c r="C1" t="s">
        <v>1</v>
      </c>
      <c r="D1" t="s">
        <v>2</v>
      </c>
    </row>
    <row r="2" spans="1:4" x14ac:dyDescent="0.45">
      <c r="A2" s="1" t="s">
        <v>3</v>
      </c>
      <c r="B2" s="2">
        <v>10.74</v>
      </c>
      <c r="C2">
        <v>1</v>
      </c>
      <c r="D2" s="3" t="s">
        <v>4</v>
      </c>
    </row>
    <row r="3" spans="1:4" x14ac:dyDescent="0.45">
      <c r="A3" s="1" t="s">
        <v>5</v>
      </c>
      <c r="B3" s="2">
        <v>10.92</v>
      </c>
      <c r="C3">
        <v>1</v>
      </c>
      <c r="D3" s="3" t="s">
        <v>4</v>
      </c>
    </row>
    <row r="4" spans="1:4" x14ac:dyDescent="0.45">
      <c r="A4" s="1" t="s">
        <v>8</v>
      </c>
      <c r="B4" s="2">
        <f>0.3*B2+0.7*B3</f>
        <v>10.866</v>
      </c>
      <c r="C4">
        <v>1</v>
      </c>
      <c r="D4" s="3" t="str">
        <f>D3</f>
        <v>TGGGTTGGGTTGGGTTGGGT</v>
      </c>
    </row>
    <row r="5" spans="1:4" x14ac:dyDescent="0.45">
      <c r="A5" s="1" t="s">
        <v>9</v>
      </c>
      <c r="B5" s="2">
        <v>8.42</v>
      </c>
      <c r="C5">
        <v>1</v>
      </c>
      <c r="D5" s="3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EA77-2D70-40CF-ABE1-F6AD2EB1AC77}">
  <dimension ref="A1:E132"/>
  <sheetViews>
    <sheetView tabSelected="1" workbookViewId="0">
      <selection activeCell="J10" sqref="J10"/>
    </sheetView>
  </sheetViews>
  <sheetFormatPr baseColWidth="10" defaultColWidth="9.06640625" defaultRowHeight="14.25" x14ac:dyDescent="0.45"/>
  <cols>
    <col min="2" max="2" width="10" customWidth="1"/>
    <col min="3" max="3" width="11.265625" customWidth="1"/>
    <col min="4" max="4" width="11.1328125" customWidth="1"/>
  </cols>
  <sheetData>
    <row r="1" spans="1:5" x14ac:dyDescent="0.45">
      <c r="A1" s="4" t="s">
        <v>6</v>
      </c>
      <c r="B1" s="5" t="s">
        <v>3</v>
      </c>
      <c r="C1" s="5" t="s">
        <v>5</v>
      </c>
      <c r="D1" s="4" t="s">
        <v>8</v>
      </c>
      <c r="E1" s="6" t="s">
        <v>9</v>
      </c>
    </row>
    <row r="2" spans="1:5" x14ac:dyDescent="0.45">
      <c r="A2">
        <v>350</v>
      </c>
      <c r="B2">
        <v>-0.13564000000000001</v>
      </c>
      <c r="C2">
        <v>0.88778999999999997</v>
      </c>
      <c r="D2">
        <f>0.3*B2+0.7*C2+0.235+2</f>
        <v>2.8157610000000002</v>
      </c>
      <c r="E2">
        <v>3.4369100000000001</v>
      </c>
    </row>
    <row r="3" spans="1:5" x14ac:dyDescent="0.45">
      <c r="A3">
        <v>349</v>
      </c>
      <c r="B3">
        <v>-0.26862000000000003</v>
      </c>
      <c r="C3">
        <v>0.77244999999999997</v>
      </c>
      <c r="D3">
        <f t="shared" ref="D3:D66" si="0">0.3*B3+0.7*C3+0.235+2</f>
        <v>2.6951289999999997</v>
      </c>
      <c r="E3">
        <v>3.36754</v>
      </c>
    </row>
    <row r="4" spans="1:5" x14ac:dyDescent="0.45">
      <c r="A4">
        <v>348</v>
      </c>
      <c r="B4">
        <v>-0.36275000000000002</v>
      </c>
      <c r="C4">
        <v>0.79357999999999995</v>
      </c>
      <c r="D4">
        <f t="shared" si="0"/>
        <v>2.6816810000000002</v>
      </c>
      <c r="E4">
        <v>3.3287100000000001</v>
      </c>
    </row>
    <row r="5" spans="1:5" x14ac:dyDescent="0.45">
      <c r="A5">
        <v>347</v>
      </c>
      <c r="B5">
        <v>-0.32129000000000002</v>
      </c>
      <c r="C5">
        <v>0.43084</v>
      </c>
      <c r="D5">
        <f t="shared" si="0"/>
        <v>2.4402010000000001</v>
      </c>
      <c r="E5">
        <v>3.5415700000000001</v>
      </c>
    </row>
    <row r="6" spans="1:5" x14ac:dyDescent="0.45">
      <c r="A6">
        <v>346</v>
      </c>
      <c r="B6">
        <v>-5.6370000000000003E-2</v>
      </c>
      <c r="C6">
        <v>0.45627000000000001</v>
      </c>
      <c r="D6">
        <f t="shared" si="0"/>
        <v>2.5374780000000001</v>
      </c>
      <c r="E6">
        <v>3.4673500000000002</v>
      </c>
    </row>
    <row r="7" spans="1:5" x14ac:dyDescent="0.45">
      <c r="A7">
        <v>345</v>
      </c>
      <c r="B7">
        <v>-0.23805000000000001</v>
      </c>
      <c r="C7">
        <v>1.00725</v>
      </c>
      <c r="D7">
        <f t="shared" si="0"/>
        <v>2.8686599999999998</v>
      </c>
      <c r="E7">
        <v>3.29251</v>
      </c>
    </row>
    <row r="8" spans="1:5" x14ac:dyDescent="0.45">
      <c r="A8">
        <v>344</v>
      </c>
      <c r="B8">
        <v>-0.22078</v>
      </c>
      <c r="C8">
        <v>0.38352999999999998</v>
      </c>
      <c r="D8">
        <f t="shared" si="0"/>
        <v>2.4372370000000001</v>
      </c>
      <c r="E8">
        <v>3.2946399999999998</v>
      </c>
    </row>
    <row r="9" spans="1:5" x14ac:dyDescent="0.45">
      <c r="A9">
        <v>343</v>
      </c>
      <c r="B9">
        <v>-1.03176</v>
      </c>
      <c r="C9">
        <v>0.19528000000000001</v>
      </c>
      <c r="D9">
        <f t="shared" si="0"/>
        <v>2.0621679999999998</v>
      </c>
      <c r="E9">
        <v>3.1514600000000002</v>
      </c>
    </row>
    <row r="10" spans="1:5" x14ac:dyDescent="0.45">
      <c r="A10">
        <v>342</v>
      </c>
      <c r="B10">
        <v>-0.38159999999999999</v>
      </c>
      <c r="C10">
        <v>0.72489999999999999</v>
      </c>
      <c r="D10">
        <f t="shared" si="0"/>
        <v>2.6279499999999998</v>
      </c>
      <c r="E10">
        <v>2.7045499999999998</v>
      </c>
    </row>
    <row r="11" spans="1:5" x14ac:dyDescent="0.45">
      <c r="A11">
        <v>341</v>
      </c>
      <c r="B11">
        <v>-0.60333999999999999</v>
      </c>
      <c r="C11">
        <v>0.54339999999999999</v>
      </c>
      <c r="D11">
        <f t="shared" si="0"/>
        <v>2.4343780000000002</v>
      </c>
      <c r="E11">
        <v>3.1259299999999999</v>
      </c>
    </row>
    <row r="12" spans="1:5" x14ac:dyDescent="0.45">
      <c r="A12">
        <v>340</v>
      </c>
      <c r="B12">
        <v>-0.92678000000000005</v>
      </c>
      <c r="C12">
        <v>0.21173</v>
      </c>
      <c r="D12">
        <f t="shared" si="0"/>
        <v>2.1051769999999999</v>
      </c>
      <c r="E12">
        <v>3.2435200000000002</v>
      </c>
    </row>
    <row r="13" spans="1:5" x14ac:dyDescent="0.45">
      <c r="A13">
        <v>339</v>
      </c>
      <c r="B13">
        <v>-0.51688000000000001</v>
      </c>
      <c r="C13">
        <v>0.63836999999999999</v>
      </c>
      <c r="D13">
        <f t="shared" si="0"/>
        <v>2.5267949999999999</v>
      </c>
      <c r="E13">
        <v>3.1579700000000002</v>
      </c>
    </row>
    <row r="14" spans="1:5" x14ac:dyDescent="0.45">
      <c r="A14">
        <v>338</v>
      </c>
      <c r="B14">
        <v>-0.49375000000000002</v>
      </c>
      <c r="C14">
        <v>0.75536999999999999</v>
      </c>
      <c r="D14">
        <f t="shared" si="0"/>
        <v>2.615634</v>
      </c>
      <c r="E14">
        <v>2.9456699999999998</v>
      </c>
    </row>
    <row r="15" spans="1:5" x14ac:dyDescent="0.45">
      <c r="A15">
        <v>337</v>
      </c>
      <c r="B15">
        <v>-0.41170000000000001</v>
      </c>
      <c r="C15">
        <v>0.76976999999999995</v>
      </c>
      <c r="D15">
        <f t="shared" si="0"/>
        <v>2.6503290000000002</v>
      </c>
      <c r="E15">
        <v>3.16452</v>
      </c>
    </row>
    <row r="16" spans="1:5" x14ac:dyDescent="0.45">
      <c r="A16">
        <v>336</v>
      </c>
      <c r="B16">
        <v>-0.35265000000000002</v>
      </c>
      <c r="C16">
        <v>0.89242999999999995</v>
      </c>
      <c r="D16">
        <f t="shared" si="0"/>
        <v>2.7539059999999997</v>
      </c>
      <c r="E16">
        <v>3.1646899999999998</v>
      </c>
    </row>
    <row r="17" spans="1:5" x14ac:dyDescent="0.45">
      <c r="A17">
        <v>335</v>
      </c>
      <c r="B17">
        <v>-0.92679</v>
      </c>
      <c r="C17">
        <v>0.73956</v>
      </c>
      <c r="D17">
        <f t="shared" si="0"/>
        <v>2.4746549999999998</v>
      </c>
      <c r="E17">
        <v>3.2688600000000001</v>
      </c>
    </row>
    <row r="18" spans="1:5" x14ac:dyDescent="0.45">
      <c r="A18">
        <v>334</v>
      </c>
      <c r="B18">
        <v>-0.76590999999999998</v>
      </c>
      <c r="C18">
        <v>0.60938000000000003</v>
      </c>
      <c r="D18">
        <f t="shared" si="0"/>
        <v>2.4317929999999999</v>
      </c>
      <c r="E18">
        <v>3.1530999999999998</v>
      </c>
    </row>
    <row r="19" spans="1:5" x14ac:dyDescent="0.45">
      <c r="A19">
        <v>333</v>
      </c>
      <c r="B19">
        <v>-0.35897000000000001</v>
      </c>
      <c r="C19">
        <v>1.0753699999999999</v>
      </c>
      <c r="D19">
        <f t="shared" si="0"/>
        <v>2.8800680000000001</v>
      </c>
      <c r="E19">
        <v>3.03593</v>
      </c>
    </row>
    <row r="20" spans="1:5" x14ac:dyDescent="0.45">
      <c r="A20">
        <v>332</v>
      </c>
      <c r="B20">
        <v>-0.96079999999999999</v>
      </c>
      <c r="C20">
        <v>0.36015999999999998</v>
      </c>
      <c r="D20">
        <f t="shared" si="0"/>
        <v>2.1988719999999997</v>
      </c>
      <c r="E20">
        <v>2.9680800000000001</v>
      </c>
    </row>
    <row r="21" spans="1:5" x14ac:dyDescent="0.45">
      <c r="A21">
        <v>331</v>
      </c>
      <c r="B21">
        <v>-0.61936999999999998</v>
      </c>
      <c r="C21">
        <v>0.50031999999999999</v>
      </c>
      <c r="D21">
        <f t="shared" si="0"/>
        <v>2.399413</v>
      </c>
      <c r="E21">
        <v>3.2359599999999999</v>
      </c>
    </row>
    <row r="22" spans="1:5" x14ac:dyDescent="0.45">
      <c r="A22">
        <v>330</v>
      </c>
      <c r="B22">
        <v>-0.52446000000000004</v>
      </c>
      <c r="C22">
        <v>0.72511000000000003</v>
      </c>
      <c r="D22">
        <f t="shared" si="0"/>
        <v>2.5852390000000001</v>
      </c>
      <c r="E22">
        <v>3.11598</v>
      </c>
    </row>
    <row r="23" spans="1:5" x14ac:dyDescent="0.45">
      <c r="A23">
        <v>329</v>
      </c>
      <c r="B23">
        <v>-0.21267</v>
      </c>
      <c r="C23">
        <v>0.88936000000000004</v>
      </c>
      <c r="D23">
        <f t="shared" si="0"/>
        <v>2.7937509999999999</v>
      </c>
      <c r="E23">
        <v>3.3637299999999999</v>
      </c>
    </row>
    <row r="24" spans="1:5" x14ac:dyDescent="0.45">
      <c r="A24">
        <v>328</v>
      </c>
      <c r="B24">
        <v>-0.66640999999999995</v>
      </c>
      <c r="C24">
        <v>0.51010999999999995</v>
      </c>
      <c r="D24">
        <f t="shared" si="0"/>
        <v>2.3921539999999997</v>
      </c>
      <c r="E24">
        <v>3.2144599999999999</v>
      </c>
    </row>
    <row r="25" spans="1:5" x14ac:dyDescent="0.45">
      <c r="A25">
        <v>327</v>
      </c>
      <c r="B25">
        <v>-0.85823000000000005</v>
      </c>
      <c r="C25">
        <v>0.53608</v>
      </c>
      <c r="D25">
        <f t="shared" si="0"/>
        <v>2.3527870000000002</v>
      </c>
      <c r="E25">
        <v>3.0906500000000001</v>
      </c>
    </row>
    <row r="26" spans="1:5" x14ac:dyDescent="0.45">
      <c r="A26">
        <v>326</v>
      </c>
      <c r="B26">
        <v>-1.0084599999999999</v>
      </c>
      <c r="C26">
        <v>0.49057000000000001</v>
      </c>
      <c r="D26">
        <f t="shared" si="0"/>
        <v>2.2758609999999999</v>
      </c>
      <c r="E26">
        <v>3.3322500000000002</v>
      </c>
    </row>
    <row r="27" spans="1:5" x14ac:dyDescent="0.45">
      <c r="A27">
        <v>325</v>
      </c>
      <c r="B27">
        <v>-0.67586999999999997</v>
      </c>
      <c r="C27">
        <v>0.66610000000000003</v>
      </c>
      <c r="D27">
        <f t="shared" si="0"/>
        <v>2.4985089999999999</v>
      </c>
      <c r="E27">
        <v>3.1188899999999999</v>
      </c>
    </row>
    <row r="28" spans="1:5" x14ac:dyDescent="0.45">
      <c r="A28">
        <v>324</v>
      </c>
      <c r="B28">
        <v>-0.90602000000000005</v>
      </c>
      <c r="C28">
        <v>0.94021999999999994</v>
      </c>
      <c r="D28">
        <f t="shared" si="0"/>
        <v>2.6213479999999998</v>
      </c>
      <c r="E28">
        <v>2.8057699999999999</v>
      </c>
    </row>
    <row r="29" spans="1:5" x14ac:dyDescent="0.45">
      <c r="A29">
        <v>323</v>
      </c>
      <c r="B29">
        <v>-0.92288999999999999</v>
      </c>
      <c r="C29">
        <v>0.72248000000000001</v>
      </c>
      <c r="D29">
        <f t="shared" si="0"/>
        <v>2.4638689999999999</v>
      </c>
      <c r="E29">
        <v>3.0431699999999999</v>
      </c>
    </row>
    <row r="30" spans="1:5" x14ac:dyDescent="0.45">
      <c r="A30">
        <v>322</v>
      </c>
      <c r="B30">
        <v>-0.71403000000000005</v>
      </c>
      <c r="C30">
        <v>0.75831000000000004</v>
      </c>
      <c r="D30">
        <f t="shared" si="0"/>
        <v>2.5516079999999999</v>
      </c>
      <c r="E30">
        <v>2.9033899999999999</v>
      </c>
    </row>
    <row r="31" spans="1:5" x14ac:dyDescent="0.45">
      <c r="A31">
        <v>321</v>
      </c>
      <c r="B31">
        <v>-0.70079000000000002</v>
      </c>
      <c r="C31">
        <v>0.42102000000000001</v>
      </c>
      <c r="D31">
        <f t="shared" si="0"/>
        <v>2.319477</v>
      </c>
      <c r="E31">
        <v>3.3547600000000002</v>
      </c>
    </row>
    <row r="32" spans="1:5" x14ac:dyDescent="0.45">
      <c r="A32">
        <v>320</v>
      </c>
      <c r="B32">
        <v>-0.66405000000000003</v>
      </c>
      <c r="C32">
        <v>0.28736</v>
      </c>
      <c r="D32">
        <f t="shared" si="0"/>
        <v>2.2369370000000002</v>
      </c>
      <c r="E32">
        <v>3.2486199999999998</v>
      </c>
    </row>
    <row r="33" spans="1:5" x14ac:dyDescent="0.45">
      <c r="A33">
        <v>319</v>
      </c>
      <c r="B33">
        <v>-0.72819</v>
      </c>
      <c r="C33">
        <v>0.80278000000000005</v>
      </c>
      <c r="D33">
        <f t="shared" si="0"/>
        <v>2.5784889999999998</v>
      </c>
      <c r="E33">
        <v>3.3895</v>
      </c>
    </row>
    <row r="34" spans="1:5" x14ac:dyDescent="0.45">
      <c r="A34">
        <v>318</v>
      </c>
      <c r="B34">
        <v>-0.50260000000000005</v>
      </c>
      <c r="C34">
        <v>0.68815999999999999</v>
      </c>
      <c r="D34">
        <f t="shared" si="0"/>
        <v>2.5659320000000001</v>
      </c>
      <c r="E34">
        <v>3.3403200000000002</v>
      </c>
    </row>
    <row r="35" spans="1:5" x14ac:dyDescent="0.45">
      <c r="A35">
        <v>317</v>
      </c>
      <c r="B35">
        <v>-0.43212</v>
      </c>
      <c r="C35">
        <v>0.91978000000000004</v>
      </c>
      <c r="D35">
        <f t="shared" si="0"/>
        <v>2.7492100000000002</v>
      </c>
      <c r="E35">
        <v>3.1422500000000002</v>
      </c>
    </row>
    <row r="36" spans="1:5" x14ac:dyDescent="0.45">
      <c r="A36">
        <v>316</v>
      </c>
      <c r="B36">
        <v>-0.48662</v>
      </c>
      <c r="C36">
        <v>0.92781999999999998</v>
      </c>
      <c r="D36">
        <f t="shared" si="0"/>
        <v>2.7384879999999998</v>
      </c>
      <c r="E36">
        <v>3.3660700000000001</v>
      </c>
    </row>
    <row r="37" spans="1:5" x14ac:dyDescent="0.45">
      <c r="A37">
        <v>315</v>
      </c>
      <c r="B37">
        <v>-0.48729</v>
      </c>
      <c r="C37">
        <v>1.1126199999999999</v>
      </c>
      <c r="D37">
        <f t="shared" si="0"/>
        <v>2.8676469999999998</v>
      </c>
      <c r="E37">
        <v>3.5327299999999999</v>
      </c>
    </row>
    <row r="38" spans="1:5" x14ac:dyDescent="0.45">
      <c r="A38">
        <v>314</v>
      </c>
      <c r="B38">
        <v>-0.15229999999999999</v>
      </c>
      <c r="C38">
        <v>1.06847</v>
      </c>
      <c r="D38">
        <f t="shared" si="0"/>
        <v>2.9372389999999999</v>
      </c>
      <c r="E38">
        <v>3.3163800000000001</v>
      </c>
    </row>
    <row r="39" spans="1:5" x14ac:dyDescent="0.45">
      <c r="A39">
        <v>313</v>
      </c>
      <c r="B39">
        <v>-0.13095999999999999</v>
      </c>
      <c r="C39">
        <v>1.77671</v>
      </c>
      <c r="D39">
        <f t="shared" si="0"/>
        <v>3.4394089999999999</v>
      </c>
      <c r="E39">
        <v>3.7914500000000002</v>
      </c>
    </row>
    <row r="40" spans="1:5" x14ac:dyDescent="0.45">
      <c r="A40">
        <v>312</v>
      </c>
      <c r="B40">
        <v>0.25102999999999998</v>
      </c>
      <c r="C40">
        <v>1.8366899999999999</v>
      </c>
      <c r="D40">
        <f t="shared" si="0"/>
        <v>3.5959919999999999</v>
      </c>
      <c r="E40">
        <v>3.65916</v>
      </c>
    </row>
    <row r="41" spans="1:5" x14ac:dyDescent="0.45">
      <c r="A41">
        <v>311</v>
      </c>
      <c r="B41">
        <v>-0.21468000000000001</v>
      </c>
      <c r="C41">
        <v>1.6925399999999999</v>
      </c>
      <c r="D41">
        <f t="shared" si="0"/>
        <v>3.3553739999999999</v>
      </c>
      <c r="E41">
        <v>4.0184899999999999</v>
      </c>
    </row>
    <row r="42" spans="1:5" x14ac:dyDescent="0.45">
      <c r="A42">
        <v>310</v>
      </c>
      <c r="B42">
        <v>0.76868999999999998</v>
      </c>
      <c r="C42">
        <v>2.4976400000000001</v>
      </c>
      <c r="D42">
        <f t="shared" si="0"/>
        <v>4.2139550000000003</v>
      </c>
      <c r="E42">
        <v>4.1147099999999996</v>
      </c>
    </row>
    <row r="43" spans="1:5" x14ac:dyDescent="0.45">
      <c r="A43">
        <v>309</v>
      </c>
      <c r="B43">
        <v>1.39191</v>
      </c>
      <c r="C43">
        <v>3.4651399999999999</v>
      </c>
      <c r="D43">
        <f t="shared" si="0"/>
        <v>5.0781709999999993</v>
      </c>
      <c r="E43">
        <v>4.4366300000000001</v>
      </c>
    </row>
    <row r="44" spans="1:5" x14ac:dyDescent="0.45">
      <c r="A44">
        <v>308</v>
      </c>
      <c r="B44">
        <v>1.38609</v>
      </c>
      <c r="C44">
        <v>3.7674699999999999</v>
      </c>
      <c r="D44">
        <f t="shared" si="0"/>
        <v>5.2880559999999992</v>
      </c>
      <c r="E44">
        <v>4.7520100000000003</v>
      </c>
    </row>
    <row r="45" spans="1:5" x14ac:dyDescent="0.45">
      <c r="A45">
        <v>307</v>
      </c>
      <c r="B45">
        <v>1.70183</v>
      </c>
      <c r="C45">
        <v>4.79887</v>
      </c>
      <c r="D45">
        <f t="shared" si="0"/>
        <v>6.1047580000000004</v>
      </c>
      <c r="E45">
        <v>5.1730600000000004</v>
      </c>
    </row>
    <row r="46" spans="1:5" x14ac:dyDescent="0.45">
      <c r="A46">
        <v>306</v>
      </c>
      <c r="B46">
        <v>2.2481499999999999</v>
      </c>
      <c r="C46">
        <v>5.9604799999999996</v>
      </c>
      <c r="D46">
        <f t="shared" si="0"/>
        <v>7.0817810000000003</v>
      </c>
      <c r="E46">
        <v>5.5075700000000003</v>
      </c>
    </row>
    <row r="47" spans="1:5" x14ac:dyDescent="0.45">
      <c r="A47">
        <v>305</v>
      </c>
      <c r="B47">
        <v>2.7322500000000001</v>
      </c>
      <c r="C47">
        <v>7.3016300000000003</v>
      </c>
      <c r="D47">
        <f t="shared" si="0"/>
        <v>8.1658159999999995</v>
      </c>
      <c r="E47">
        <v>6.1327999999999996</v>
      </c>
    </row>
    <row r="48" spans="1:5" x14ac:dyDescent="0.45">
      <c r="A48">
        <v>304</v>
      </c>
      <c r="B48">
        <v>3.9564699999999999</v>
      </c>
      <c r="C48">
        <v>9.2929899999999996</v>
      </c>
      <c r="D48">
        <f t="shared" si="0"/>
        <v>9.927033999999999</v>
      </c>
      <c r="E48">
        <v>6.5669300000000002</v>
      </c>
    </row>
    <row r="49" spans="1:5" x14ac:dyDescent="0.45">
      <c r="A49">
        <v>303</v>
      </c>
      <c r="B49">
        <v>4.6430300000000004</v>
      </c>
      <c r="C49">
        <v>11.03814</v>
      </c>
      <c r="D49">
        <f t="shared" si="0"/>
        <v>11.354607</v>
      </c>
      <c r="E49">
        <v>6.8701299999999996</v>
      </c>
    </row>
    <row r="50" spans="1:5" x14ac:dyDescent="0.45">
      <c r="A50">
        <v>302</v>
      </c>
      <c r="B50">
        <v>5.0522200000000002</v>
      </c>
      <c r="C50">
        <v>12.90893</v>
      </c>
      <c r="D50">
        <f t="shared" si="0"/>
        <v>12.786916999999999</v>
      </c>
      <c r="E50">
        <v>7.11911</v>
      </c>
    </row>
    <row r="51" spans="1:5" x14ac:dyDescent="0.45">
      <c r="A51">
        <v>301</v>
      </c>
      <c r="B51">
        <v>6.1871299999999998</v>
      </c>
      <c r="C51">
        <v>16.665369999999999</v>
      </c>
      <c r="D51">
        <f t="shared" si="0"/>
        <v>15.756898</v>
      </c>
      <c r="E51">
        <v>7.2574399999999999</v>
      </c>
    </row>
    <row r="52" spans="1:5" x14ac:dyDescent="0.45">
      <c r="A52">
        <v>300</v>
      </c>
      <c r="B52">
        <v>6.6690699999999996</v>
      </c>
      <c r="C52">
        <v>18.43375</v>
      </c>
      <c r="D52">
        <f t="shared" si="0"/>
        <v>17.139346</v>
      </c>
      <c r="E52">
        <v>7.9245299999999999</v>
      </c>
    </row>
    <row r="53" spans="1:5" x14ac:dyDescent="0.45">
      <c r="A53">
        <v>299</v>
      </c>
      <c r="B53">
        <v>7.9857500000000003</v>
      </c>
      <c r="C53">
        <v>20.334109999999999</v>
      </c>
      <c r="D53">
        <f t="shared" si="0"/>
        <v>18.864601999999998</v>
      </c>
      <c r="E53">
        <v>7.9453399999999998</v>
      </c>
    </row>
    <row r="54" spans="1:5" x14ac:dyDescent="0.45">
      <c r="A54">
        <v>298</v>
      </c>
      <c r="B54">
        <v>8.7507999999999999</v>
      </c>
      <c r="C54">
        <v>22.365580000000001</v>
      </c>
      <c r="D54">
        <f t="shared" si="0"/>
        <v>20.516145999999999</v>
      </c>
      <c r="E54">
        <v>8.1380400000000002</v>
      </c>
    </row>
    <row r="55" spans="1:5" x14ac:dyDescent="0.45">
      <c r="A55">
        <v>297</v>
      </c>
      <c r="B55">
        <v>9.4973299999999998</v>
      </c>
      <c r="C55">
        <v>24.381029999999999</v>
      </c>
      <c r="D55">
        <f t="shared" si="0"/>
        <v>22.150919999999996</v>
      </c>
      <c r="E55">
        <v>8.2017299999999995</v>
      </c>
    </row>
    <row r="56" spans="1:5" x14ac:dyDescent="0.45">
      <c r="A56">
        <v>296</v>
      </c>
      <c r="B56">
        <v>9.6530699999999996</v>
      </c>
      <c r="C56">
        <v>25.555569999999999</v>
      </c>
      <c r="D56">
        <f t="shared" si="0"/>
        <v>23.019819999999999</v>
      </c>
      <c r="E56">
        <v>8.0322899999999997</v>
      </c>
    </row>
    <row r="57" spans="1:5" x14ac:dyDescent="0.45">
      <c r="A57">
        <v>295</v>
      </c>
      <c r="B57">
        <v>9.6286699999999996</v>
      </c>
      <c r="C57">
        <v>26.762270000000001</v>
      </c>
      <c r="D57">
        <f t="shared" si="0"/>
        <v>23.857189999999999</v>
      </c>
      <c r="E57">
        <v>7.6923700000000004</v>
      </c>
    </row>
    <row r="58" spans="1:5" x14ac:dyDescent="0.45">
      <c r="A58">
        <v>294</v>
      </c>
      <c r="B58">
        <v>9.7738300000000002</v>
      </c>
      <c r="C58">
        <v>25.972829999999998</v>
      </c>
      <c r="D58">
        <f t="shared" si="0"/>
        <v>23.348129999999998</v>
      </c>
      <c r="E58">
        <v>7.7940800000000001</v>
      </c>
    </row>
    <row r="59" spans="1:5" x14ac:dyDescent="0.45">
      <c r="A59">
        <v>293</v>
      </c>
      <c r="B59">
        <v>10.12111</v>
      </c>
      <c r="C59">
        <v>26.276910000000001</v>
      </c>
      <c r="D59">
        <f t="shared" si="0"/>
        <v>23.665169999999996</v>
      </c>
      <c r="E59">
        <v>7.4596900000000002</v>
      </c>
    </row>
    <row r="60" spans="1:5" x14ac:dyDescent="0.45">
      <c r="A60">
        <v>292</v>
      </c>
      <c r="B60">
        <v>9.6568799999999992</v>
      </c>
      <c r="C60">
        <v>25.412880000000001</v>
      </c>
      <c r="D60">
        <f t="shared" si="0"/>
        <v>22.92108</v>
      </c>
      <c r="E60">
        <v>7.0072799999999997</v>
      </c>
    </row>
    <row r="61" spans="1:5" x14ac:dyDescent="0.45">
      <c r="A61">
        <v>291</v>
      </c>
      <c r="B61">
        <v>10.472670000000001</v>
      </c>
      <c r="C61">
        <v>25.68207</v>
      </c>
      <c r="D61">
        <f t="shared" si="0"/>
        <v>23.35425</v>
      </c>
      <c r="E61">
        <v>7.2663200000000003</v>
      </c>
    </row>
    <row r="62" spans="1:5" x14ac:dyDescent="0.45">
      <c r="A62">
        <v>290</v>
      </c>
      <c r="B62">
        <v>10.99658</v>
      </c>
      <c r="C62">
        <v>24.108979999999999</v>
      </c>
      <c r="D62">
        <f t="shared" si="0"/>
        <v>22.410259999999997</v>
      </c>
      <c r="E62">
        <v>7.3063000000000002</v>
      </c>
    </row>
    <row r="63" spans="1:5" x14ac:dyDescent="0.45">
      <c r="A63">
        <v>289</v>
      </c>
      <c r="B63">
        <v>11.50881</v>
      </c>
      <c r="C63">
        <v>22.491109999999999</v>
      </c>
      <c r="D63">
        <f t="shared" si="0"/>
        <v>21.431419999999996</v>
      </c>
      <c r="E63">
        <v>7.7023700000000002</v>
      </c>
    </row>
    <row r="64" spans="1:5" x14ac:dyDescent="0.45">
      <c r="A64">
        <v>288</v>
      </c>
      <c r="B64">
        <v>11.828720000000001</v>
      </c>
      <c r="C64">
        <v>21.003620000000002</v>
      </c>
      <c r="D64">
        <f t="shared" si="0"/>
        <v>20.486149999999999</v>
      </c>
      <c r="E64">
        <v>7.9530200000000004</v>
      </c>
    </row>
    <row r="65" spans="1:5" x14ac:dyDescent="0.45">
      <c r="A65">
        <v>287</v>
      </c>
      <c r="B65">
        <v>14.317449999999999</v>
      </c>
      <c r="C65">
        <v>20.00535</v>
      </c>
      <c r="D65">
        <f t="shared" si="0"/>
        <v>20.53398</v>
      </c>
      <c r="E65">
        <v>8.4032599999999995</v>
      </c>
    </row>
    <row r="66" spans="1:5" x14ac:dyDescent="0.45">
      <c r="A66">
        <v>286</v>
      </c>
      <c r="B66">
        <v>14.70472</v>
      </c>
      <c r="C66">
        <v>18.305219999999998</v>
      </c>
      <c r="D66">
        <f t="shared" si="0"/>
        <v>19.460069999999998</v>
      </c>
      <c r="E66">
        <v>8.5409900000000007</v>
      </c>
    </row>
    <row r="67" spans="1:5" x14ac:dyDescent="0.45">
      <c r="A67">
        <v>285</v>
      </c>
      <c r="B67">
        <v>16.198840000000001</v>
      </c>
      <c r="C67">
        <v>16.510639999999999</v>
      </c>
      <c r="D67">
        <f t="shared" ref="D67:D130" si="1">0.3*B67+0.7*C67+0.235+2</f>
        <v>18.652099999999997</v>
      </c>
      <c r="E67">
        <v>8.9253</v>
      </c>
    </row>
    <row r="68" spans="1:5" x14ac:dyDescent="0.45">
      <c r="A68">
        <v>284</v>
      </c>
      <c r="B68">
        <v>17.895299999999999</v>
      </c>
      <c r="C68">
        <v>14.1091</v>
      </c>
      <c r="D68">
        <f t="shared" si="1"/>
        <v>17.479959999999998</v>
      </c>
      <c r="E68">
        <v>9.8803000000000001</v>
      </c>
    </row>
    <row r="69" spans="1:5" x14ac:dyDescent="0.45">
      <c r="A69">
        <v>283</v>
      </c>
      <c r="B69">
        <v>18.885590000000001</v>
      </c>
      <c r="C69">
        <v>11.93999</v>
      </c>
      <c r="D69">
        <f t="shared" si="1"/>
        <v>16.258669999999999</v>
      </c>
      <c r="E69">
        <v>9.7685999999999993</v>
      </c>
    </row>
    <row r="70" spans="1:5" x14ac:dyDescent="0.45">
      <c r="A70">
        <v>282</v>
      </c>
      <c r="B70">
        <v>21.0593</v>
      </c>
      <c r="C70">
        <v>10.2791</v>
      </c>
      <c r="D70">
        <f t="shared" si="1"/>
        <v>15.748159999999999</v>
      </c>
      <c r="E70">
        <v>10.8424</v>
      </c>
    </row>
    <row r="71" spans="1:5" x14ac:dyDescent="0.45">
      <c r="A71">
        <v>281</v>
      </c>
      <c r="B71">
        <v>22.178339999999999</v>
      </c>
      <c r="C71">
        <v>8.2924900000000008</v>
      </c>
      <c r="D71">
        <f t="shared" si="1"/>
        <v>14.693244999999999</v>
      </c>
      <c r="E71">
        <v>12.243399999999999</v>
      </c>
    </row>
    <row r="72" spans="1:5" x14ac:dyDescent="0.45">
      <c r="A72">
        <v>280</v>
      </c>
      <c r="B72">
        <v>26.320959999999999</v>
      </c>
      <c r="C72">
        <v>6.93513</v>
      </c>
      <c r="D72">
        <f t="shared" si="1"/>
        <v>14.985878999999999</v>
      </c>
      <c r="E72">
        <v>14.027900000000001</v>
      </c>
    </row>
    <row r="73" spans="1:5" x14ac:dyDescent="0.45">
      <c r="A73">
        <v>279</v>
      </c>
      <c r="B73">
        <v>29.707650000000001</v>
      </c>
      <c r="C73">
        <v>3.8890600000000002</v>
      </c>
      <c r="D73">
        <f t="shared" si="1"/>
        <v>13.869636999999999</v>
      </c>
      <c r="E73">
        <v>16.930099999999999</v>
      </c>
    </row>
    <row r="74" spans="1:5" x14ac:dyDescent="0.45">
      <c r="A74">
        <v>278</v>
      </c>
      <c r="B74">
        <v>32.95364</v>
      </c>
      <c r="C74">
        <v>2.9736600000000002</v>
      </c>
      <c r="D74">
        <f t="shared" si="1"/>
        <v>14.202653999999999</v>
      </c>
      <c r="E74">
        <v>18.5319</v>
      </c>
    </row>
    <row r="75" spans="1:5" x14ac:dyDescent="0.45">
      <c r="A75">
        <v>277</v>
      </c>
      <c r="B75">
        <v>37.819949999999999</v>
      </c>
      <c r="C75">
        <v>2.91391</v>
      </c>
      <c r="D75">
        <f t="shared" si="1"/>
        <v>15.620721999999997</v>
      </c>
      <c r="E75">
        <v>21.625800000000002</v>
      </c>
    </row>
    <row r="76" spans="1:5" x14ac:dyDescent="0.45">
      <c r="A76">
        <v>276</v>
      </c>
      <c r="B76">
        <v>42.559730000000002</v>
      </c>
      <c r="C76">
        <v>3.1255899999999999</v>
      </c>
      <c r="D76">
        <f t="shared" si="1"/>
        <v>17.190832</v>
      </c>
      <c r="E76">
        <v>24.9267</v>
      </c>
    </row>
    <row r="77" spans="1:5" x14ac:dyDescent="0.45">
      <c r="A77">
        <v>275</v>
      </c>
      <c r="B77">
        <v>46.138689999999997</v>
      </c>
      <c r="C77">
        <v>1.23821</v>
      </c>
      <c r="D77">
        <f t="shared" si="1"/>
        <v>16.943353999999999</v>
      </c>
      <c r="E77">
        <v>29.3477</v>
      </c>
    </row>
    <row r="78" spans="1:5" x14ac:dyDescent="0.45">
      <c r="A78">
        <v>274</v>
      </c>
      <c r="B78">
        <v>53.341250000000002</v>
      </c>
      <c r="C78">
        <v>-0.72721000000000002</v>
      </c>
      <c r="D78">
        <f t="shared" si="1"/>
        <v>17.728327999999998</v>
      </c>
      <c r="E78">
        <v>34.637999999999998</v>
      </c>
    </row>
    <row r="79" spans="1:5" x14ac:dyDescent="0.45">
      <c r="A79">
        <v>273</v>
      </c>
      <c r="B79">
        <v>58.360799999999998</v>
      </c>
      <c r="C79">
        <v>-1.9541299999999999</v>
      </c>
      <c r="D79">
        <f t="shared" si="1"/>
        <v>18.375348999999996</v>
      </c>
      <c r="E79">
        <v>38.057000000000002</v>
      </c>
    </row>
    <row r="80" spans="1:5" x14ac:dyDescent="0.45">
      <c r="A80">
        <v>272</v>
      </c>
      <c r="B80">
        <v>63.408250000000002</v>
      </c>
      <c r="C80">
        <v>-3.3253400000000002</v>
      </c>
      <c r="D80">
        <f t="shared" si="1"/>
        <v>18.929736999999999</v>
      </c>
      <c r="E80">
        <v>42.820099999999996</v>
      </c>
    </row>
    <row r="81" spans="1:5" x14ac:dyDescent="0.45">
      <c r="A81">
        <v>271</v>
      </c>
      <c r="B81">
        <v>69.463080000000005</v>
      </c>
      <c r="C81">
        <v>-0.75722</v>
      </c>
      <c r="D81">
        <f t="shared" si="1"/>
        <v>22.543870000000002</v>
      </c>
      <c r="E81">
        <v>47.339799999999997</v>
      </c>
    </row>
    <row r="82" spans="1:5" x14ac:dyDescent="0.45">
      <c r="A82">
        <v>270</v>
      </c>
      <c r="B82">
        <v>76.140060000000005</v>
      </c>
      <c r="C82">
        <v>-2.3656600000000001</v>
      </c>
      <c r="D82">
        <f t="shared" si="1"/>
        <v>23.421056</v>
      </c>
      <c r="E82">
        <v>51.4009</v>
      </c>
    </row>
    <row r="83" spans="1:5" x14ac:dyDescent="0.45">
      <c r="A83">
        <v>269</v>
      </c>
      <c r="B83">
        <v>81.017880000000005</v>
      </c>
      <c r="C83">
        <v>-3.3888699999999998</v>
      </c>
      <c r="D83">
        <f t="shared" si="1"/>
        <v>24.168154999999999</v>
      </c>
      <c r="E83">
        <v>57.179900000000004</v>
      </c>
    </row>
    <row r="84" spans="1:5" x14ac:dyDescent="0.45">
      <c r="A84">
        <v>268</v>
      </c>
      <c r="B84">
        <v>86.921719999999993</v>
      </c>
      <c r="C84">
        <v>-2.9573200000000002</v>
      </c>
      <c r="D84">
        <f t="shared" si="1"/>
        <v>26.241391999999998</v>
      </c>
      <c r="E84">
        <v>61.060600000000001</v>
      </c>
    </row>
    <row r="85" spans="1:5" x14ac:dyDescent="0.45">
      <c r="A85">
        <v>267</v>
      </c>
      <c r="B85">
        <v>93.416309999999996</v>
      </c>
      <c r="C85">
        <v>-5.0029300000000001</v>
      </c>
      <c r="D85">
        <f t="shared" si="1"/>
        <v>26.757841999999997</v>
      </c>
      <c r="E85">
        <v>64.546599999999998</v>
      </c>
    </row>
    <row r="86" spans="1:5" x14ac:dyDescent="0.45">
      <c r="A86">
        <v>266</v>
      </c>
      <c r="B86">
        <v>98.056290000000004</v>
      </c>
      <c r="C86">
        <v>-4.44015</v>
      </c>
      <c r="D86">
        <f t="shared" si="1"/>
        <v>28.543782</v>
      </c>
      <c r="E86">
        <v>69.670400000000001</v>
      </c>
    </row>
    <row r="87" spans="1:5" x14ac:dyDescent="0.45">
      <c r="A87">
        <v>265</v>
      </c>
      <c r="B87">
        <v>103.02076</v>
      </c>
      <c r="C87">
        <v>-4.0723000000000003</v>
      </c>
      <c r="D87">
        <f t="shared" si="1"/>
        <v>30.290617999999998</v>
      </c>
      <c r="E87">
        <v>73.041700000000006</v>
      </c>
    </row>
    <row r="88" spans="1:5" x14ac:dyDescent="0.45">
      <c r="A88">
        <v>264</v>
      </c>
      <c r="B88">
        <v>102.58015</v>
      </c>
      <c r="C88">
        <v>-3.2229899999999998</v>
      </c>
      <c r="D88">
        <f t="shared" si="1"/>
        <v>30.752952000000001</v>
      </c>
      <c r="E88">
        <v>76.240399999999994</v>
      </c>
    </row>
    <row r="89" spans="1:5" x14ac:dyDescent="0.45">
      <c r="A89">
        <v>263</v>
      </c>
      <c r="B89">
        <v>102.62307</v>
      </c>
      <c r="C89">
        <v>-2.23611</v>
      </c>
      <c r="D89">
        <f t="shared" si="1"/>
        <v>31.456643999999997</v>
      </c>
      <c r="E89">
        <v>76.370500000000007</v>
      </c>
    </row>
    <row r="90" spans="1:5" x14ac:dyDescent="0.45">
      <c r="A90">
        <v>262</v>
      </c>
      <c r="B90">
        <v>100.23116</v>
      </c>
      <c r="C90">
        <v>-1.6588700000000001</v>
      </c>
      <c r="D90">
        <f t="shared" si="1"/>
        <v>31.143138999999998</v>
      </c>
      <c r="E90">
        <v>77.057500000000005</v>
      </c>
    </row>
    <row r="91" spans="1:5" x14ac:dyDescent="0.45">
      <c r="A91">
        <v>261</v>
      </c>
      <c r="B91">
        <v>94.25461</v>
      </c>
      <c r="C91">
        <v>-0.77285000000000004</v>
      </c>
      <c r="D91">
        <f t="shared" si="1"/>
        <v>29.970388</v>
      </c>
      <c r="E91">
        <v>76.237300000000005</v>
      </c>
    </row>
    <row r="92" spans="1:5" x14ac:dyDescent="0.45">
      <c r="A92">
        <v>260</v>
      </c>
      <c r="B92">
        <v>89.870869999999996</v>
      </c>
      <c r="C92">
        <v>2.0227200000000001</v>
      </c>
      <c r="D92">
        <f t="shared" si="1"/>
        <v>30.612164999999997</v>
      </c>
      <c r="E92">
        <v>75.324399999999997</v>
      </c>
    </row>
    <row r="93" spans="1:5" x14ac:dyDescent="0.45">
      <c r="A93">
        <v>259</v>
      </c>
      <c r="B93">
        <v>81.630219999999994</v>
      </c>
      <c r="C93">
        <v>-0.86470999999999998</v>
      </c>
      <c r="D93">
        <f t="shared" si="1"/>
        <v>26.118768999999997</v>
      </c>
      <c r="E93">
        <v>72.612700000000004</v>
      </c>
    </row>
    <row r="94" spans="1:5" x14ac:dyDescent="0.45">
      <c r="A94">
        <v>258</v>
      </c>
      <c r="B94">
        <v>78.967439999999996</v>
      </c>
      <c r="C94">
        <v>2.7618100000000001</v>
      </c>
      <c r="D94">
        <f t="shared" si="1"/>
        <v>27.858498999999998</v>
      </c>
      <c r="E94">
        <v>67.509</v>
      </c>
    </row>
    <row r="95" spans="1:5" x14ac:dyDescent="0.45">
      <c r="A95">
        <v>257</v>
      </c>
      <c r="B95">
        <v>70.100099999999998</v>
      </c>
      <c r="C95">
        <v>4.9061199999999996</v>
      </c>
      <c r="D95">
        <f t="shared" si="1"/>
        <v>26.699313999999998</v>
      </c>
      <c r="E95">
        <v>63.169699999999999</v>
      </c>
    </row>
    <row r="96" spans="1:5" x14ac:dyDescent="0.45">
      <c r="A96">
        <v>256</v>
      </c>
      <c r="B96">
        <v>60.187779999999997</v>
      </c>
      <c r="C96">
        <v>3.2987600000000001</v>
      </c>
      <c r="D96">
        <f t="shared" si="1"/>
        <v>22.600465999999997</v>
      </c>
      <c r="E96">
        <v>57.885199999999998</v>
      </c>
    </row>
    <row r="97" spans="1:5" x14ac:dyDescent="0.45">
      <c r="A97">
        <v>255</v>
      </c>
      <c r="B97">
        <v>48.648879999999998</v>
      </c>
      <c r="C97">
        <v>4.5184199999999999</v>
      </c>
      <c r="D97">
        <f t="shared" si="1"/>
        <v>19.992557999999995</v>
      </c>
      <c r="E97">
        <v>53.283799999999999</v>
      </c>
    </row>
    <row r="98" spans="1:5" x14ac:dyDescent="0.45">
      <c r="A98">
        <v>254</v>
      </c>
      <c r="B98">
        <v>38.112909999999999</v>
      </c>
      <c r="C98">
        <v>7.6276999999999999</v>
      </c>
      <c r="D98">
        <f t="shared" si="1"/>
        <v>19.008262999999999</v>
      </c>
      <c r="E98">
        <v>43.470100000000002</v>
      </c>
    </row>
    <row r="99" spans="1:5" x14ac:dyDescent="0.45">
      <c r="A99">
        <v>253</v>
      </c>
      <c r="B99">
        <v>30.817969999999999</v>
      </c>
      <c r="C99">
        <v>5.3584199999999997</v>
      </c>
      <c r="D99">
        <f t="shared" si="1"/>
        <v>15.231285</v>
      </c>
      <c r="E99">
        <v>34.422899999999998</v>
      </c>
    </row>
    <row r="100" spans="1:5" x14ac:dyDescent="0.45">
      <c r="A100">
        <v>252</v>
      </c>
      <c r="B100">
        <v>16.570509999999999</v>
      </c>
      <c r="C100">
        <v>6.02203</v>
      </c>
      <c r="D100">
        <f t="shared" si="1"/>
        <v>11.421574</v>
      </c>
      <c r="E100">
        <v>28.277899999999999</v>
      </c>
    </row>
    <row r="101" spans="1:5" x14ac:dyDescent="0.45">
      <c r="A101">
        <v>251</v>
      </c>
      <c r="B101">
        <v>6.7059499999999996</v>
      </c>
      <c r="C101">
        <v>8.4340600000000006</v>
      </c>
      <c r="D101">
        <f t="shared" si="1"/>
        <v>10.150627</v>
      </c>
      <c r="E101">
        <v>20.520499999999998</v>
      </c>
    </row>
    <row r="102" spans="1:5" x14ac:dyDescent="0.45">
      <c r="A102">
        <v>250</v>
      </c>
      <c r="B102">
        <v>-1.8850899999999999</v>
      </c>
      <c r="C102">
        <v>8.71434</v>
      </c>
      <c r="D102">
        <f t="shared" si="1"/>
        <v>7.7695109999999996</v>
      </c>
      <c r="E102">
        <v>8.5252199999999991</v>
      </c>
    </row>
    <row r="103" spans="1:5" x14ac:dyDescent="0.45">
      <c r="A103">
        <v>249</v>
      </c>
      <c r="B103">
        <v>-9.5476700000000001</v>
      </c>
      <c r="C103">
        <v>10.15591</v>
      </c>
      <c r="D103">
        <f t="shared" si="1"/>
        <v>6.4798359999999997</v>
      </c>
      <c r="E103">
        <v>2.3638400000000002</v>
      </c>
    </row>
    <row r="104" spans="1:5" x14ac:dyDescent="0.45">
      <c r="A104">
        <v>248</v>
      </c>
      <c r="B104">
        <v>-15.43333</v>
      </c>
      <c r="C104">
        <v>8.6178899999999992</v>
      </c>
      <c r="D104">
        <f t="shared" si="1"/>
        <v>3.6375239999999995</v>
      </c>
      <c r="E104">
        <v>-2.4859599999999999</v>
      </c>
    </row>
    <row r="105" spans="1:5" x14ac:dyDescent="0.45">
      <c r="A105">
        <v>247</v>
      </c>
      <c r="B105">
        <v>-25.099419999999999</v>
      </c>
      <c r="C105">
        <v>8.6976999999999993</v>
      </c>
      <c r="D105">
        <f t="shared" si="1"/>
        <v>0.79356400000000038</v>
      </c>
      <c r="E105">
        <v>-9.8714700000000004</v>
      </c>
    </row>
    <row r="106" spans="1:5" x14ac:dyDescent="0.45">
      <c r="A106">
        <v>246</v>
      </c>
      <c r="B106">
        <v>-26.335599999999999</v>
      </c>
      <c r="C106">
        <v>9.7835400000000003</v>
      </c>
      <c r="D106">
        <f t="shared" si="1"/>
        <v>1.1827980000000005</v>
      </c>
      <c r="E106">
        <v>-14.1546</v>
      </c>
    </row>
    <row r="107" spans="1:5" x14ac:dyDescent="0.45">
      <c r="A107">
        <v>245</v>
      </c>
      <c r="B107">
        <v>-29.731349999999999</v>
      </c>
      <c r="C107">
        <v>8.2555200000000006</v>
      </c>
      <c r="D107">
        <f t="shared" si="1"/>
        <v>-0.90554099999999904</v>
      </c>
      <c r="E107">
        <v>-16.144100000000002</v>
      </c>
    </row>
    <row r="108" spans="1:5" x14ac:dyDescent="0.45">
      <c r="A108">
        <v>244</v>
      </c>
      <c r="B108">
        <v>-31.209350000000001</v>
      </c>
      <c r="C108">
        <v>7.5347600000000003</v>
      </c>
      <c r="D108">
        <f t="shared" si="1"/>
        <v>-1.8534729999999997</v>
      </c>
      <c r="E108">
        <v>-18.066400000000002</v>
      </c>
    </row>
    <row r="109" spans="1:5" x14ac:dyDescent="0.45">
      <c r="A109">
        <v>243</v>
      </c>
      <c r="B109">
        <v>-31.267109999999999</v>
      </c>
      <c r="C109">
        <v>10.44885</v>
      </c>
      <c r="D109">
        <f t="shared" si="1"/>
        <v>0.16906200000000071</v>
      </c>
      <c r="E109">
        <v>-20.2912</v>
      </c>
    </row>
    <row r="110" spans="1:5" x14ac:dyDescent="0.45">
      <c r="A110">
        <v>242</v>
      </c>
      <c r="B110">
        <v>-31.316189999999999</v>
      </c>
      <c r="C110">
        <v>7.2042400000000004</v>
      </c>
      <c r="D110">
        <f t="shared" si="1"/>
        <v>-2.1168889999999996</v>
      </c>
      <c r="E110">
        <v>-21.1206</v>
      </c>
    </row>
    <row r="111" spans="1:5" x14ac:dyDescent="0.45">
      <c r="A111">
        <v>241</v>
      </c>
      <c r="B111">
        <v>-31.855650000000001</v>
      </c>
      <c r="C111">
        <v>5.1489900000000004</v>
      </c>
      <c r="D111">
        <f t="shared" si="1"/>
        <v>-3.717401999999999</v>
      </c>
      <c r="E111">
        <v>-21.489000000000001</v>
      </c>
    </row>
    <row r="112" spans="1:5" x14ac:dyDescent="0.45">
      <c r="A112">
        <v>240</v>
      </c>
      <c r="B112">
        <v>-30.266480000000001</v>
      </c>
      <c r="C112">
        <v>5.9504900000000003</v>
      </c>
      <c r="D112">
        <f t="shared" si="1"/>
        <v>-2.679600999999999</v>
      </c>
      <c r="E112">
        <v>-21.1557</v>
      </c>
    </row>
    <row r="113" spans="1:5" x14ac:dyDescent="0.45">
      <c r="A113">
        <v>239</v>
      </c>
      <c r="B113">
        <v>-27.34432</v>
      </c>
      <c r="C113">
        <v>4.7831599999999996</v>
      </c>
      <c r="D113">
        <f t="shared" si="1"/>
        <v>-2.6200839999999994</v>
      </c>
      <c r="E113">
        <v>-20.2088</v>
      </c>
    </row>
    <row r="114" spans="1:5" x14ac:dyDescent="0.45">
      <c r="A114">
        <v>238</v>
      </c>
      <c r="B114">
        <v>-26.298290000000001</v>
      </c>
      <c r="C114">
        <v>3.93763</v>
      </c>
      <c r="D114">
        <f t="shared" si="1"/>
        <v>-2.8981459999999997</v>
      </c>
      <c r="E114">
        <v>-17.190799999999999</v>
      </c>
    </row>
    <row r="115" spans="1:5" x14ac:dyDescent="0.45">
      <c r="A115">
        <v>237</v>
      </c>
      <c r="B115">
        <v>-22.666170000000001</v>
      </c>
      <c r="C115">
        <v>1.9775799999999999</v>
      </c>
      <c r="D115">
        <f t="shared" si="1"/>
        <v>-3.1805450000000004</v>
      </c>
      <c r="E115">
        <v>-17.6526</v>
      </c>
    </row>
    <row r="116" spans="1:5" x14ac:dyDescent="0.45">
      <c r="A116">
        <v>236</v>
      </c>
      <c r="B116">
        <v>-20.95946</v>
      </c>
      <c r="C116">
        <v>1.0591999999999999</v>
      </c>
      <c r="D116">
        <f t="shared" si="1"/>
        <v>-3.3113979999999996</v>
      </c>
      <c r="E116">
        <v>-15.8672</v>
      </c>
    </row>
    <row r="117" spans="1:5" x14ac:dyDescent="0.45">
      <c r="A117">
        <v>235</v>
      </c>
      <c r="B117">
        <v>-19.58249</v>
      </c>
      <c r="C117">
        <v>0.55501</v>
      </c>
      <c r="D117">
        <f t="shared" si="1"/>
        <v>-3.2512400000000001</v>
      </c>
      <c r="E117">
        <v>-13.5296</v>
      </c>
    </row>
    <row r="118" spans="1:5" x14ac:dyDescent="0.45">
      <c r="A118">
        <v>234</v>
      </c>
      <c r="B118">
        <v>-15.63186</v>
      </c>
      <c r="C118">
        <v>0.51902999999999999</v>
      </c>
      <c r="D118">
        <f t="shared" si="1"/>
        <v>-2.0912369999999996</v>
      </c>
      <c r="E118">
        <v>-11.254099999999999</v>
      </c>
    </row>
    <row r="119" spans="1:5" x14ac:dyDescent="0.45">
      <c r="A119">
        <v>233</v>
      </c>
      <c r="B119">
        <v>-13.371930000000001</v>
      </c>
      <c r="C119">
        <v>-1.3979900000000001</v>
      </c>
      <c r="D119">
        <f t="shared" si="1"/>
        <v>-2.755172</v>
      </c>
      <c r="E119">
        <v>-9.1442499999999995</v>
      </c>
    </row>
    <row r="120" spans="1:5" x14ac:dyDescent="0.45">
      <c r="A120">
        <v>232</v>
      </c>
      <c r="B120">
        <v>-11.80879</v>
      </c>
      <c r="C120">
        <v>-0.14102999999999999</v>
      </c>
      <c r="D120">
        <f t="shared" si="1"/>
        <v>-1.406358</v>
      </c>
      <c r="E120">
        <v>-8.0102899999999995</v>
      </c>
    </row>
    <row r="121" spans="1:5" x14ac:dyDescent="0.45">
      <c r="A121">
        <v>231</v>
      </c>
      <c r="B121">
        <v>-8.3956199999999992</v>
      </c>
      <c r="C121">
        <v>-0.82252000000000003</v>
      </c>
      <c r="D121">
        <f t="shared" si="1"/>
        <v>-0.85944999999999983</v>
      </c>
      <c r="E121">
        <v>-6.65822</v>
      </c>
    </row>
    <row r="122" spans="1:5" x14ac:dyDescent="0.45">
      <c r="A122">
        <v>230</v>
      </c>
      <c r="B122">
        <v>-7.5519699999999998</v>
      </c>
      <c r="C122">
        <v>1.7139999999999999E-2</v>
      </c>
      <c r="D122">
        <f t="shared" si="1"/>
        <v>-1.8592999999999638E-2</v>
      </c>
      <c r="E122">
        <v>-5.2431200000000002</v>
      </c>
    </row>
    <row r="123" spans="1:5" x14ac:dyDescent="0.45">
      <c r="A123">
        <v>229</v>
      </c>
      <c r="B123">
        <v>-4.63293</v>
      </c>
      <c r="C123">
        <v>-3.1379999999999998E-2</v>
      </c>
      <c r="D123">
        <f t="shared" si="1"/>
        <v>0.8231550000000003</v>
      </c>
      <c r="E123">
        <v>-3.7305000000000001</v>
      </c>
    </row>
    <row r="124" spans="1:5" x14ac:dyDescent="0.45">
      <c r="A124">
        <v>228</v>
      </c>
      <c r="B124">
        <v>-3.1856200000000001</v>
      </c>
      <c r="C124">
        <v>0.78496999999999995</v>
      </c>
      <c r="D124">
        <f t="shared" si="1"/>
        <v>1.8287929999999999</v>
      </c>
      <c r="E124">
        <v>-3.29325</v>
      </c>
    </row>
    <row r="125" spans="1:5" x14ac:dyDescent="0.45">
      <c r="A125">
        <v>227</v>
      </c>
      <c r="B125">
        <v>-0.42582999999999999</v>
      </c>
      <c r="C125">
        <v>-0.28609000000000001</v>
      </c>
      <c r="D125">
        <f t="shared" si="1"/>
        <v>1.9069880000000001</v>
      </c>
      <c r="E125">
        <v>-0.309201</v>
      </c>
    </row>
    <row r="126" spans="1:5" x14ac:dyDescent="0.45">
      <c r="A126">
        <v>226</v>
      </c>
      <c r="B126">
        <v>2.01004</v>
      </c>
      <c r="C126">
        <v>0.65871999999999997</v>
      </c>
      <c r="D126">
        <f t="shared" si="1"/>
        <v>3.2991159999999997</v>
      </c>
      <c r="E126">
        <v>0.44192599999999999</v>
      </c>
    </row>
    <row r="127" spans="1:5" x14ac:dyDescent="0.45">
      <c r="A127">
        <v>225</v>
      </c>
      <c r="B127">
        <v>3.8153800000000002</v>
      </c>
      <c r="C127">
        <v>1.1665000000000001</v>
      </c>
      <c r="D127">
        <f t="shared" si="1"/>
        <v>4.1961639999999996</v>
      </c>
      <c r="E127">
        <v>1.40011</v>
      </c>
    </row>
    <row r="128" spans="1:5" x14ac:dyDescent="0.45">
      <c r="A128">
        <v>224</v>
      </c>
      <c r="B128">
        <v>7.1562000000000001</v>
      </c>
      <c r="C128">
        <v>2.03592</v>
      </c>
      <c r="D128">
        <f t="shared" si="1"/>
        <v>5.8070039999999992</v>
      </c>
      <c r="E128">
        <v>3.46332</v>
      </c>
    </row>
    <row r="129" spans="1:5" x14ac:dyDescent="0.45">
      <c r="A129">
        <v>223</v>
      </c>
      <c r="B129">
        <v>8.6912900000000004</v>
      </c>
      <c r="C129">
        <v>2.7158899999999999</v>
      </c>
      <c r="D129">
        <f t="shared" si="1"/>
        <v>6.7435100000000006</v>
      </c>
      <c r="E129">
        <v>4.4643899999999999</v>
      </c>
    </row>
    <row r="130" spans="1:5" x14ac:dyDescent="0.45">
      <c r="A130">
        <v>222</v>
      </c>
      <c r="B130">
        <v>11.76304</v>
      </c>
      <c r="C130">
        <v>3.0867599999999999</v>
      </c>
      <c r="D130">
        <f t="shared" si="1"/>
        <v>7.9246439999999998</v>
      </c>
      <c r="E130">
        <v>6.6248800000000001</v>
      </c>
    </row>
    <row r="131" spans="1:5" x14ac:dyDescent="0.45">
      <c r="A131">
        <v>221</v>
      </c>
      <c r="B131">
        <v>16.525839999999999</v>
      </c>
      <c r="C131">
        <v>5.4410499999999997</v>
      </c>
      <c r="D131">
        <f t="shared" ref="D131:D132" si="2">0.3*B131+0.7*C131+0.235+2</f>
        <v>11.001486999999997</v>
      </c>
      <c r="E131">
        <v>8.5709099999999996</v>
      </c>
    </row>
    <row r="132" spans="1:5" x14ac:dyDescent="0.45">
      <c r="A132">
        <v>220</v>
      </c>
      <c r="B132">
        <v>18.099029999999999</v>
      </c>
      <c r="C132">
        <v>4.6218700000000004</v>
      </c>
      <c r="D132">
        <f t="shared" si="2"/>
        <v>10.900017999999999</v>
      </c>
      <c r="E132">
        <v>12.013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Sample information</vt:lpstr>
      <vt:lpstr>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Largy</dc:creator>
  <cp:lastModifiedBy>Eric Largy</cp:lastModifiedBy>
  <dcterms:created xsi:type="dcterms:W3CDTF">2025-03-10T10:40:28Z</dcterms:created>
  <dcterms:modified xsi:type="dcterms:W3CDTF">2025-11-21T21:07:32Z</dcterms:modified>
</cp:coreProperties>
</file>